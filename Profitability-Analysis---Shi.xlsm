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chartsheets/sheet1.xml" ContentType="application/vnd.openxmlformats-officedocument.spreadsheetml.chart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Shire\Desktop\"/>
    </mc:Choice>
  </mc:AlternateContent>
  <bookViews>
    <workbookView xWindow="0" yWindow="0" windowWidth="19200" windowHeight="8250"/>
  </bookViews>
  <sheets>
    <sheet name="Main" sheetId="1" r:id="rId1"/>
    <sheet name="Histogram" sheetId="152" r:id="rId2"/>
    <sheet name="Histogram Data" sheetId="2" r:id="rId3"/>
  </sheets>
  <definedNames>
    <definedName name="Cland">Main!$B$3</definedName>
    <definedName name="COS">Main!$H$3</definedName>
    <definedName name="Croyal">Main!$B$4</definedName>
    <definedName name="Cstart">Main!$B$7</definedName>
    <definedName name="CTDC">Main!$B$5</definedName>
    <definedName name="i">Main!$H$4</definedName>
    <definedName name="S">Main!$E$3</definedName>
    <definedName name="tax">Main!$E$4</definedName>
    <definedName name="WC">Main!$B$6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J24" i="1" l="1"/>
  <c r="I24" i="1"/>
  <c r="E24" i="1"/>
  <c r="C24" i="1"/>
  <c r="J23" i="1"/>
  <c r="I23" i="1"/>
  <c r="E23" i="1"/>
  <c r="J22" i="1"/>
  <c r="I22" i="1"/>
  <c r="E22" i="1"/>
  <c r="J21" i="1"/>
  <c r="I21" i="1"/>
  <c r="E21" i="1"/>
  <c r="J20" i="1"/>
  <c r="I20" i="1"/>
  <c r="E20" i="1"/>
  <c r="J19" i="1"/>
  <c r="I19" i="1"/>
  <c r="H19" i="1"/>
  <c r="E19" i="1"/>
  <c r="J18" i="1"/>
  <c r="I18" i="1"/>
  <c r="H18" i="1"/>
  <c r="E18" i="1"/>
  <c r="J17" i="1"/>
  <c r="I17" i="1"/>
  <c r="H17" i="1"/>
  <c r="E17" i="1"/>
  <c r="J16" i="1"/>
  <c r="I16" i="1"/>
  <c r="H16" i="1"/>
  <c r="E16" i="1"/>
  <c r="J15" i="1"/>
  <c r="I15" i="1"/>
  <c r="H15" i="1"/>
  <c r="E15" i="1"/>
  <c r="J14" i="1"/>
  <c r="I14" i="1"/>
  <c r="H14" i="1"/>
  <c r="E14" i="1"/>
  <c r="J13" i="1"/>
  <c r="I13" i="1"/>
  <c r="H13" i="1"/>
  <c r="E13" i="1"/>
  <c r="J12" i="1"/>
  <c r="I12" i="1"/>
  <c r="H12" i="1"/>
  <c r="E12" i="1"/>
  <c r="F11" i="1"/>
  <c r="C11" i="1"/>
  <c r="B11" i="1"/>
  <c r="D10" i="1"/>
  <c r="B10" i="1"/>
  <c r="K12" i="1" l="1"/>
  <c r="L12" i="1" s="1"/>
  <c r="M12" i="1" s="1"/>
  <c r="K22" i="1"/>
  <c r="L22" i="1" s="1"/>
  <c r="M22" i="1" s="1"/>
  <c r="K21" i="1"/>
  <c r="L21" i="1" s="1"/>
  <c r="M21" i="1" s="1"/>
  <c r="K23" i="1"/>
  <c r="L23" i="1" s="1"/>
  <c r="M23" i="1" s="1"/>
  <c r="K24" i="1"/>
  <c r="L24" i="1" s="1"/>
  <c r="M24" i="1" s="1"/>
  <c r="K20" i="1"/>
  <c r="L20" i="1" s="1"/>
  <c r="M20" i="1" s="1"/>
  <c r="L11" i="1"/>
  <c r="M11" i="1" s="1"/>
  <c r="K13" i="1"/>
  <c r="L13" i="1" s="1"/>
  <c r="M13" i="1" s="1"/>
  <c r="K15" i="1"/>
  <c r="L15" i="1" s="1"/>
  <c r="M15" i="1" s="1"/>
  <c r="K16" i="1"/>
  <c r="L16" i="1" s="1"/>
  <c r="M16" i="1" s="1"/>
  <c r="K18" i="1"/>
  <c r="L18" i="1" s="1"/>
  <c r="M18" i="1" s="1"/>
  <c r="K19" i="1"/>
  <c r="L19" i="1" s="1"/>
  <c r="M19" i="1" s="1"/>
  <c r="K14" i="1"/>
  <c r="L14" i="1" s="1"/>
  <c r="M14" i="1" s="1"/>
  <c r="K17" i="1"/>
  <c r="L17" i="1" s="1"/>
  <c r="M17" i="1" s="1"/>
  <c r="L10" i="1"/>
  <c r="M10" i="1" s="1"/>
  <c r="N10" i="1" s="1"/>
  <c r="N11" i="1" l="1"/>
  <c r="N12" i="1" s="1"/>
  <c r="N13" i="1" s="1"/>
  <c r="N14" i="1" s="1"/>
  <c r="N15" i="1" s="1"/>
  <c r="N16" i="1" s="1"/>
  <c r="N17" i="1" s="1"/>
  <c r="N18" i="1" s="1"/>
  <c r="N19" i="1" s="1"/>
  <c r="N20" i="1" s="1"/>
  <c r="N21" i="1" s="1"/>
  <c r="N22" i="1" s="1"/>
  <c r="N23" i="1" s="1"/>
  <c r="N24" i="1" s="1"/>
</calcChain>
</file>

<file path=xl/sharedStrings.xml><?xml version="1.0" encoding="utf-8"?>
<sst xmlns="http://schemas.openxmlformats.org/spreadsheetml/2006/main" count="28" uniqueCount="23">
  <si>
    <t>PROFITABILITY ANALYSIS - MONTE CARLO SIMULATION</t>
  </si>
  <si>
    <t>C_land</t>
  </si>
  <si>
    <t>S</t>
  </si>
  <si>
    <t>C</t>
  </si>
  <si>
    <t>C_royalties</t>
  </si>
  <si>
    <t>Tax:</t>
  </si>
  <si>
    <t>i</t>
  </si>
  <si>
    <t>TDC</t>
  </si>
  <si>
    <t>WC</t>
  </si>
  <si>
    <t>*IMPORTANT: DON'T CHANGE ANYTHING ON THIS SHEET ACCEPT</t>
  </si>
  <si>
    <t>C_start</t>
  </si>
  <si>
    <t>FOR INPUTS HIGHLIGHTED IN GREEN!</t>
  </si>
  <si>
    <t>(PV)</t>
  </si>
  <si>
    <t>Year</t>
  </si>
  <si>
    <t>C_royalty</t>
  </si>
  <si>
    <t>C_startup</t>
  </si>
  <si>
    <t>V_S</t>
  </si>
  <si>
    <t>D</t>
  </si>
  <si>
    <t>ATE</t>
  </si>
  <si>
    <t>Cash Flow</t>
  </si>
  <si>
    <t>Disc. CF</t>
  </si>
  <si>
    <t>NPV</t>
  </si>
  <si>
    <t>MACRS-7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</si>
</sst>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3">
    <numFmt numFmtId="164" formatCode="_(&quot;$&quot;* #,##0.00_);_(&quot;$&quot;* \(#,##0.00\);_(&quot;$&quot;* &quot;-&quot;??_);_(@_)"/>
    <numFmt numFmtId="165" formatCode="0.0%"/>
    <numFmt numFmtId="166" formatCode="0.0"/>
  </numFmts>
  <fonts count="3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000000"/>
      <name val="Calibri"/>
      <family val="2"/>
    </font>
  </fonts>
  <fills count="4">
    <fill>
      <patternFill patternType="none"/>
    </fill>
    <fill>
      <patternFill patternType="gray125"/>
    </fill>
    <fill>
      <patternFill patternType="solid">
        <fgColor rgb="FF92D050"/>
        <bgColor indexed="64"/>
      </patternFill>
    </fill>
    <fill>
      <patternFill patternType="solid">
        <fgColor rgb="FFFFFF00"/>
        <bgColor indexed="64"/>
      </patternFill>
    </fill>
  </fills>
  <borders count="5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</borders>
  <cellStyleXfs count="3">
    <xf numFmtId="0" fontId="0" fillId="0" borderId="0"/>
    <xf numFmtId="164" fontId="1" fillId="0" borderId="0" applyFont="0" applyFill="0" applyBorder="0" applyAlignment="0" applyProtection="0"/>
    <xf numFmtId="9" fontId="1" fillId="0" borderId="0" applyFont="0" applyFill="0" applyBorder="0" applyAlignment="0" applyProtection="0"/>
  </cellStyleXfs>
  <cellXfs count="16">
    <xf numFmtId="0" fontId="0" fillId="0" borderId="0" xfId="0"/>
    <xf numFmtId="164" fontId="0" fillId="0" borderId="0" xfId="1" applyFont="1"/>
    <xf numFmtId="164" fontId="0" fillId="0" borderId="0" xfId="0" applyNumberFormat="1"/>
    <xf numFmtId="0" fontId="0" fillId="0" borderId="0" xfId="0" quotePrefix="1"/>
    <xf numFmtId="164" fontId="0" fillId="0" borderId="0" xfId="1" applyNumberFormat="1" applyFont="1"/>
    <xf numFmtId="2" fontId="0" fillId="2" borderId="2" xfId="0" applyNumberFormat="1" applyFill="1" applyBorder="1"/>
    <xf numFmtId="2" fontId="0" fillId="2" borderId="3" xfId="0" applyNumberFormat="1" applyFill="1" applyBorder="1"/>
    <xf numFmtId="0" fontId="0" fillId="2" borderId="4" xfId="0" applyFill="1" applyBorder="1"/>
    <xf numFmtId="165" fontId="0" fillId="2" borderId="4" xfId="2" applyNumberFormat="1" applyFont="1" applyFill="1" applyBorder="1"/>
    <xf numFmtId="166" fontId="0" fillId="2" borderId="3" xfId="0" applyNumberFormat="1" applyFill="1" applyBorder="1"/>
    <xf numFmtId="0" fontId="0" fillId="0" borderId="0" xfId="0" applyFill="1"/>
    <xf numFmtId="2" fontId="0" fillId="0" borderId="0" xfId="0" applyNumberFormat="1"/>
    <xf numFmtId="10" fontId="0" fillId="0" borderId="0" xfId="2" applyNumberFormat="1" applyFont="1"/>
    <xf numFmtId="2" fontId="0" fillId="3" borderId="1" xfId="0" applyNumberFormat="1" applyFill="1" applyBorder="1"/>
    <xf numFmtId="166" fontId="0" fillId="2" borderId="4" xfId="0" applyNumberFormat="1" applyFill="1" applyBorder="1"/>
    <xf numFmtId="166" fontId="0" fillId="2" borderId="2" xfId="0" applyNumberFormat="1" applyFill="1" applyBorder="1"/>
  </cellXfs>
  <cellStyles count="3">
    <cellStyle name="百分比" xfId="2" builtinId="5"/>
    <cellStyle name="常规" xfId="0" builtinId="0"/>
    <cellStyle name="货币" xfId="1" builtinId="4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2.xml"/><Relationship Id="rId7" Type="http://schemas.openxmlformats.org/officeDocument/2006/relationships/calcChain" Target="calcChain.xml"/><Relationship Id="rId2" Type="http://schemas.openxmlformats.org/officeDocument/2006/relationships/chartsheet" Target="chartsheets/sheet1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1"/>
          <c:order val="0"/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numRef>
              <c:f>'Histogram Data'!$A$1:$A$54</c:f>
              <c:numCache>
                <c:formatCode>General</c:formatCode>
                <c:ptCount val="54"/>
                <c:pt idx="0">
                  <c:v>-58</c:v>
                </c:pt>
                <c:pt idx="1">
                  <c:v>-54</c:v>
                </c:pt>
                <c:pt idx="2">
                  <c:v>-50</c:v>
                </c:pt>
                <c:pt idx="3">
                  <c:v>-46</c:v>
                </c:pt>
                <c:pt idx="4">
                  <c:v>-42</c:v>
                </c:pt>
                <c:pt idx="5">
                  <c:v>-38</c:v>
                </c:pt>
                <c:pt idx="6">
                  <c:v>-34</c:v>
                </c:pt>
                <c:pt idx="7">
                  <c:v>-30</c:v>
                </c:pt>
                <c:pt idx="8">
                  <c:v>-26</c:v>
                </c:pt>
                <c:pt idx="9">
                  <c:v>-22</c:v>
                </c:pt>
                <c:pt idx="10">
                  <c:v>-18</c:v>
                </c:pt>
                <c:pt idx="11">
                  <c:v>-14</c:v>
                </c:pt>
                <c:pt idx="12">
                  <c:v>-10</c:v>
                </c:pt>
                <c:pt idx="13">
                  <c:v>-6</c:v>
                </c:pt>
                <c:pt idx="14">
                  <c:v>-2</c:v>
                </c:pt>
                <c:pt idx="15">
                  <c:v>2</c:v>
                </c:pt>
                <c:pt idx="16">
                  <c:v>6</c:v>
                </c:pt>
                <c:pt idx="17">
                  <c:v>10</c:v>
                </c:pt>
                <c:pt idx="18">
                  <c:v>14</c:v>
                </c:pt>
                <c:pt idx="19">
                  <c:v>18</c:v>
                </c:pt>
                <c:pt idx="20">
                  <c:v>22</c:v>
                </c:pt>
                <c:pt idx="21">
                  <c:v>26</c:v>
                </c:pt>
                <c:pt idx="22">
                  <c:v>30</c:v>
                </c:pt>
                <c:pt idx="23">
                  <c:v>34</c:v>
                </c:pt>
                <c:pt idx="24">
                  <c:v>38</c:v>
                </c:pt>
                <c:pt idx="25">
                  <c:v>42</c:v>
                </c:pt>
                <c:pt idx="26">
                  <c:v>46</c:v>
                </c:pt>
                <c:pt idx="27">
                  <c:v>50</c:v>
                </c:pt>
                <c:pt idx="28">
                  <c:v>54</c:v>
                </c:pt>
                <c:pt idx="29">
                  <c:v>58</c:v>
                </c:pt>
                <c:pt idx="30">
                  <c:v>62</c:v>
                </c:pt>
                <c:pt idx="31">
                  <c:v>66</c:v>
                </c:pt>
                <c:pt idx="32">
                  <c:v>70</c:v>
                </c:pt>
                <c:pt idx="33">
                  <c:v>74</c:v>
                </c:pt>
                <c:pt idx="34">
                  <c:v>78</c:v>
                </c:pt>
                <c:pt idx="35">
                  <c:v>82</c:v>
                </c:pt>
                <c:pt idx="36">
                  <c:v>86</c:v>
                </c:pt>
                <c:pt idx="37">
                  <c:v>90</c:v>
                </c:pt>
                <c:pt idx="38">
                  <c:v>94</c:v>
                </c:pt>
                <c:pt idx="39">
                  <c:v>98</c:v>
                </c:pt>
                <c:pt idx="40">
                  <c:v>102</c:v>
                </c:pt>
                <c:pt idx="41">
                  <c:v>106</c:v>
                </c:pt>
                <c:pt idx="42">
                  <c:v>110</c:v>
                </c:pt>
                <c:pt idx="43">
                  <c:v>114</c:v>
                </c:pt>
                <c:pt idx="44">
                  <c:v>118</c:v>
                </c:pt>
                <c:pt idx="45">
                  <c:v>122</c:v>
                </c:pt>
                <c:pt idx="46">
                  <c:v>126</c:v>
                </c:pt>
                <c:pt idx="47">
                  <c:v>130</c:v>
                </c:pt>
                <c:pt idx="48">
                  <c:v>134</c:v>
                </c:pt>
                <c:pt idx="49">
                  <c:v>138</c:v>
                </c:pt>
                <c:pt idx="50">
                  <c:v>142</c:v>
                </c:pt>
                <c:pt idx="51">
                  <c:v>146</c:v>
                </c:pt>
                <c:pt idx="52">
                  <c:v>150</c:v>
                </c:pt>
                <c:pt idx="53">
                  <c:v>154</c:v>
                </c:pt>
              </c:numCache>
            </c:numRef>
          </c:cat>
          <c:val>
            <c:numRef>
              <c:f>'Histogram Data'!$B$1:$B$54</c:f>
              <c:numCache>
                <c:formatCode>General</c:formatCode>
                <c:ptCount val="5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2</c:v>
                </c:pt>
                <c:pt idx="4">
                  <c:v>6</c:v>
                </c:pt>
                <c:pt idx="5">
                  <c:v>3</c:v>
                </c:pt>
                <c:pt idx="6">
                  <c:v>11</c:v>
                </c:pt>
                <c:pt idx="7">
                  <c:v>10</c:v>
                </c:pt>
                <c:pt idx="8">
                  <c:v>26</c:v>
                </c:pt>
                <c:pt idx="9">
                  <c:v>31</c:v>
                </c:pt>
                <c:pt idx="10">
                  <c:v>48</c:v>
                </c:pt>
                <c:pt idx="11">
                  <c:v>85</c:v>
                </c:pt>
                <c:pt idx="12">
                  <c:v>99</c:v>
                </c:pt>
                <c:pt idx="13">
                  <c:v>130</c:v>
                </c:pt>
                <c:pt idx="14">
                  <c:v>166</c:v>
                </c:pt>
                <c:pt idx="15">
                  <c:v>171</c:v>
                </c:pt>
                <c:pt idx="16">
                  <c:v>202</c:v>
                </c:pt>
                <c:pt idx="17">
                  <c:v>279</c:v>
                </c:pt>
                <c:pt idx="18">
                  <c:v>323</c:v>
                </c:pt>
                <c:pt idx="19">
                  <c:v>349</c:v>
                </c:pt>
                <c:pt idx="20">
                  <c:v>388</c:v>
                </c:pt>
                <c:pt idx="21">
                  <c:v>420</c:v>
                </c:pt>
                <c:pt idx="22">
                  <c:v>452</c:v>
                </c:pt>
                <c:pt idx="23">
                  <c:v>487</c:v>
                </c:pt>
                <c:pt idx="24">
                  <c:v>528</c:v>
                </c:pt>
                <c:pt idx="25">
                  <c:v>512</c:v>
                </c:pt>
                <c:pt idx="26">
                  <c:v>507</c:v>
                </c:pt>
                <c:pt idx="27">
                  <c:v>461</c:v>
                </c:pt>
                <c:pt idx="28">
                  <c:v>469</c:v>
                </c:pt>
                <c:pt idx="29">
                  <c:v>501</c:v>
                </c:pt>
                <c:pt idx="30">
                  <c:v>426</c:v>
                </c:pt>
                <c:pt idx="31">
                  <c:v>381</c:v>
                </c:pt>
                <c:pt idx="32">
                  <c:v>366</c:v>
                </c:pt>
                <c:pt idx="33">
                  <c:v>317</c:v>
                </c:pt>
                <c:pt idx="34">
                  <c:v>315</c:v>
                </c:pt>
                <c:pt idx="35">
                  <c:v>292</c:v>
                </c:pt>
                <c:pt idx="36">
                  <c:v>265</c:v>
                </c:pt>
                <c:pt idx="37">
                  <c:v>205</c:v>
                </c:pt>
                <c:pt idx="38">
                  <c:v>163</c:v>
                </c:pt>
                <c:pt idx="39">
                  <c:v>134</c:v>
                </c:pt>
                <c:pt idx="40">
                  <c:v>125</c:v>
                </c:pt>
                <c:pt idx="41">
                  <c:v>90</c:v>
                </c:pt>
                <c:pt idx="42">
                  <c:v>63</c:v>
                </c:pt>
                <c:pt idx="43">
                  <c:v>60</c:v>
                </c:pt>
                <c:pt idx="44">
                  <c:v>49</c:v>
                </c:pt>
                <c:pt idx="45">
                  <c:v>22</c:v>
                </c:pt>
                <c:pt idx="46">
                  <c:v>18</c:v>
                </c:pt>
                <c:pt idx="47">
                  <c:v>8</c:v>
                </c:pt>
                <c:pt idx="48">
                  <c:v>10</c:v>
                </c:pt>
                <c:pt idx="49">
                  <c:v>11</c:v>
                </c:pt>
                <c:pt idx="50">
                  <c:v>7</c:v>
                </c:pt>
                <c:pt idx="51">
                  <c:v>3</c:v>
                </c:pt>
                <c:pt idx="52">
                  <c:v>2</c:v>
                </c:pt>
                <c:pt idx="53">
                  <c:v>1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454490240"/>
        <c:axId val="454494160"/>
      </c:barChart>
      <c:catAx>
        <c:axId val="454490240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altLang="zh-CN"/>
                  <a:t>Bin Center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4494160"/>
        <c:crosses val="autoZero"/>
        <c:auto val="1"/>
        <c:lblAlgn val="ctr"/>
        <c:lblOffset val="100"/>
        <c:noMultiLvlLbl val="0"/>
      </c:catAx>
      <c:valAx>
        <c:axId val="45449416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449024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chartsheets/sheet1.xml><?xml version="1.0" encoding="utf-8"?>
<chartsheet xmlns="http://schemas.openxmlformats.org/spreadsheetml/2006/main" xmlns:r="http://schemas.openxmlformats.org/officeDocument/2006/relationships">
  <sheetPr codeName="图表10"/>
  <sheetViews>
    <sheetView zoomScale="79" workbookViewId="0" zoomToFit="1"/>
  </sheetViews>
  <pageMargins left="0.7" right="0.7" top="0.75" bottom="0.75" header="0.3" footer="0.3"/>
  <drawing r:id="rId1"/>
</chartsheet>
</file>

<file path=xl/ctrlProps/ctrlProp1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438150</xdr:colOff>
          <xdr:row>1</xdr:row>
          <xdr:rowOff>133350</xdr:rowOff>
        </xdr:from>
        <xdr:to>
          <xdr:col>11</xdr:col>
          <xdr:colOff>276225</xdr:colOff>
          <xdr:row>3</xdr:row>
          <xdr:rowOff>180975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=""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Run Simulation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absoluteAnchor>
    <xdr:pos x="0" y="0"/>
    <xdr:ext cx="9307975" cy="6076709"/>
    <xdr:graphicFrame macro="">
      <xdr:nvGraphicFramePr>
        <xdr:cNvPr id="2" name="图表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P27"/>
  <sheetViews>
    <sheetView tabSelected="1" zoomScaleNormal="100" workbookViewId="0">
      <selection activeCell="M5" sqref="M5"/>
    </sheetView>
  </sheetViews>
  <sheetFormatPr defaultRowHeight="15" x14ac:dyDescent="0.25"/>
  <cols>
    <col min="1" max="1" width="19.140625" bestFit="1" customWidth="1"/>
    <col min="2" max="2" width="11.85546875" bestFit="1" customWidth="1"/>
    <col min="3" max="3" width="13.140625" customWidth="1"/>
    <col min="4" max="4" width="9.85546875" bestFit="1" customWidth="1"/>
    <col min="5" max="5" width="10.42578125" bestFit="1" customWidth="1"/>
    <col min="6" max="6" width="10.7109375" customWidth="1"/>
    <col min="7" max="7" width="11.85546875" bestFit="1" customWidth="1"/>
    <col min="8" max="8" width="11" customWidth="1"/>
    <col min="9" max="10" width="9.140625" bestFit="1" customWidth="1"/>
  </cols>
  <sheetData>
    <row r="1" spans="1:16" x14ac:dyDescent="0.25">
      <c r="A1" t="s">
        <v>0</v>
      </c>
    </row>
    <row r="2" spans="1:16" ht="15.75" thickBot="1" x14ac:dyDescent="0.3"/>
    <row r="3" spans="1:16" x14ac:dyDescent="0.25">
      <c r="A3" t="s">
        <v>1</v>
      </c>
      <c r="B3" s="5">
        <v>-5</v>
      </c>
      <c r="D3" t="s">
        <v>2</v>
      </c>
      <c r="E3" s="15">
        <v>44.461395425048167</v>
      </c>
      <c r="G3" t="s">
        <v>3</v>
      </c>
      <c r="H3" s="5">
        <v>-5.9864804594035164</v>
      </c>
    </row>
    <row r="4" spans="1:16" ht="15.75" thickBot="1" x14ac:dyDescent="0.3">
      <c r="A4" t="s">
        <v>4</v>
      </c>
      <c r="B4" s="6">
        <v>-2.5783760854119286</v>
      </c>
      <c r="D4" t="s">
        <v>5</v>
      </c>
      <c r="E4" s="7">
        <v>0.4</v>
      </c>
      <c r="G4" t="s">
        <v>6</v>
      </c>
      <c r="H4" s="8">
        <v>0.11118009567260742</v>
      </c>
    </row>
    <row r="5" spans="1:16" x14ac:dyDescent="0.25">
      <c r="A5" t="s">
        <v>7</v>
      </c>
      <c r="B5" s="9">
        <v>-84.56522691481284</v>
      </c>
      <c r="H5" s="10"/>
    </row>
    <row r="6" spans="1:16" x14ac:dyDescent="0.25">
      <c r="A6" t="s">
        <v>8</v>
      </c>
      <c r="B6" s="9">
        <v>-30.954281091690063</v>
      </c>
      <c r="E6" t="s">
        <v>9</v>
      </c>
      <c r="H6" s="10"/>
    </row>
    <row r="7" spans="1:16" ht="15.75" thickBot="1" x14ac:dyDescent="0.3">
      <c r="A7" t="s">
        <v>10</v>
      </c>
      <c r="B7" s="14">
        <v>-10.357697789103973</v>
      </c>
      <c r="E7" t="s">
        <v>11</v>
      </c>
      <c r="H7" s="10"/>
    </row>
    <row r="8" spans="1:16" x14ac:dyDescent="0.25">
      <c r="M8" t="s">
        <v>12</v>
      </c>
    </row>
    <row r="9" spans="1:16" x14ac:dyDescent="0.25">
      <c r="A9" t="s">
        <v>13</v>
      </c>
      <c r="B9" t="s">
        <v>7</v>
      </c>
      <c r="C9" t="s">
        <v>8</v>
      </c>
      <c r="D9" t="s">
        <v>1</v>
      </c>
      <c r="E9" t="s">
        <v>14</v>
      </c>
      <c r="F9" t="s">
        <v>15</v>
      </c>
      <c r="G9" t="s">
        <v>16</v>
      </c>
      <c r="H9" t="s">
        <v>17</v>
      </c>
      <c r="I9" t="s">
        <v>2</v>
      </c>
      <c r="J9" t="s">
        <v>3</v>
      </c>
      <c r="K9" t="s">
        <v>18</v>
      </c>
      <c r="L9" t="s">
        <v>19</v>
      </c>
      <c r="M9" t="s">
        <v>20</v>
      </c>
      <c r="N9" t="s">
        <v>21</v>
      </c>
      <c r="P9" t="s">
        <v>22</v>
      </c>
    </row>
    <row r="10" spans="1:16" x14ac:dyDescent="0.25">
      <c r="A10">
        <v>1</v>
      </c>
      <c r="B10" s="11">
        <f>0.5*CTDC</f>
        <v>-42.28261345740642</v>
      </c>
      <c r="C10" s="11"/>
      <c r="D10" s="11">
        <f>Cland</f>
        <v>-5</v>
      </c>
      <c r="E10" s="11"/>
      <c r="F10" s="11"/>
      <c r="G10" s="11"/>
      <c r="H10" s="11"/>
      <c r="I10" s="11"/>
      <c r="J10" s="11"/>
      <c r="L10">
        <f>B10+D10</f>
        <v>-47.28261345740642</v>
      </c>
      <c r="M10" s="11">
        <f t="shared" ref="M10:M24" si="0">L10/(1+i)^(A10-1)</f>
        <v>-47.28261345740642</v>
      </c>
      <c r="N10" s="11">
        <f>M10</f>
        <v>-47.28261345740642</v>
      </c>
    </row>
    <row r="11" spans="1:16" x14ac:dyDescent="0.25">
      <c r="A11">
        <v>2</v>
      </c>
      <c r="B11" s="11">
        <f>0.5*CTDC</f>
        <v>-42.28261345740642</v>
      </c>
      <c r="C11" s="11">
        <f>WC</f>
        <v>-30.954281091690063</v>
      </c>
      <c r="D11" s="11"/>
      <c r="E11" s="11"/>
      <c r="F11" s="11">
        <f>Cstart</f>
        <v>-10.357697789103973</v>
      </c>
      <c r="G11" s="11"/>
      <c r="H11" s="11"/>
      <c r="I11" s="11"/>
      <c r="J11" s="11"/>
      <c r="L11">
        <f>B11+C11+F11</f>
        <v>-83.594592338200471</v>
      </c>
      <c r="M11" s="11">
        <f t="shared" si="0"/>
        <v>-75.230462337970422</v>
      </c>
      <c r="N11" s="11">
        <f>N10+M11</f>
        <v>-122.51307579537684</v>
      </c>
    </row>
    <row r="12" spans="1:16" x14ac:dyDescent="0.25">
      <c r="A12">
        <v>3</v>
      </c>
      <c r="B12" s="11"/>
      <c r="C12" s="11"/>
      <c r="D12" s="11"/>
      <c r="E12" s="11">
        <f t="shared" ref="E12:E24" si="1">Croyal</f>
        <v>-2.5783760854119286</v>
      </c>
      <c r="F12" s="11"/>
      <c r="G12" s="11"/>
      <c r="H12" s="11">
        <f>P12*-CTDC</f>
        <v>12.084370926126756</v>
      </c>
      <c r="I12" s="11">
        <f>0.5*S</f>
        <v>22.230697712524083</v>
      </c>
      <c r="J12" s="11">
        <f>0.5*COS</f>
        <v>-2.9932402297017582</v>
      </c>
      <c r="K12" s="11">
        <f>(1-tax)*(I12-J12-H12)</f>
        <v>7.8837402096594511</v>
      </c>
      <c r="L12" s="11">
        <f t="shared" ref="L12:L23" si="2">K12+H12+E12</f>
        <v>17.389735050374277</v>
      </c>
      <c r="M12" s="11">
        <f t="shared" si="0"/>
        <v>14.083936502983192</v>
      </c>
      <c r="N12" s="11">
        <f t="shared" ref="N12:N23" si="3">N11+M12</f>
        <v>-108.42913929239364</v>
      </c>
      <c r="P12" s="12">
        <v>0.1429</v>
      </c>
    </row>
    <row r="13" spans="1:16" x14ac:dyDescent="0.25">
      <c r="A13">
        <v>4</v>
      </c>
      <c r="B13" s="11"/>
      <c r="C13" s="11"/>
      <c r="D13" s="11"/>
      <c r="E13" s="11">
        <f t="shared" si="1"/>
        <v>-2.5783760854119286</v>
      </c>
      <c r="F13" s="11"/>
      <c r="G13" s="11"/>
      <c r="H13" s="11">
        <f t="shared" ref="H13:H19" si="4">P13*-CTDC</f>
        <v>20.710024071437665</v>
      </c>
      <c r="I13" s="11">
        <f>0.8*S</f>
        <v>35.569116340038534</v>
      </c>
      <c r="J13" s="11">
        <f>0.8*COS</f>
        <v>-4.7891843675228136</v>
      </c>
      <c r="K13" s="11">
        <f t="shared" ref="K13:K24" si="5">(1-tax)*(I13-J13-H13)</f>
        <v>11.78896598167421</v>
      </c>
      <c r="L13" s="11">
        <f t="shared" si="2"/>
        <v>29.920613967699946</v>
      </c>
      <c r="M13" s="11">
        <f t="shared" si="0"/>
        <v>21.808065396721521</v>
      </c>
      <c r="N13" s="11">
        <f t="shared" si="3"/>
        <v>-86.621073895672126</v>
      </c>
      <c r="P13" s="12">
        <v>0.24490000000000001</v>
      </c>
    </row>
    <row r="14" spans="1:16" x14ac:dyDescent="0.25">
      <c r="A14">
        <v>5</v>
      </c>
      <c r="B14" s="11"/>
      <c r="C14" s="11"/>
      <c r="D14" s="11"/>
      <c r="E14" s="11">
        <f t="shared" si="1"/>
        <v>-2.5783760854119286</v>
      </c>
      <c r="F14" s="11"/>
      <c r="G14" s="11"/>
      <c r="H14" s="11">
        <f t="shared" si="4"/>
        <v>14.790458187400766</v>
      </c>
      <c r="I14" s="11">
        <f t="shared" ref="I14:I24" si="6">S</f>
        <v>44.461395425048167</v>
      </c>
      <c r="J14" s="11">
        <f t="shared" ref="J14:J24" si="7">COS</f>
        <v>-5.9864804594035164</v>
      </c>
      <c r="K14" s="11">
        <f t="shared" si="5"/>
        <v>21.39445061823055</v>
      </c>
      <c r="L14" s="11">
        <f t="shared" si="2"/>
        <v>33.606532720219391</v>
      </c>
      <c r="M14" s="11">
        <f t="shared" si="0"/>
        <v>22.043771160290156</v>
      </c>
      <c r="N14" s="11">
        <f t="shared" si="3"/>
        <v>-64.577302735381977</v>
      </c>
      <c r="P14" s="12">
        <v>0.1749</v>
      </c>
    </row>
    <row r="15" spans="1:16" x14ac:dyDescent="0.25">
      <c r="A15">
        <v>6</v>
      </c>
      <c r="B15" s="11"/>
      <c r="C15" s="11"/>
      <c r="D15" s="11"/>
      <c r="E15" s="11">
        <f t="shared" si="1"/>
        <v>-2.5783760854119286</v>
      </c>
      <c r="F15" s="11"/>
      <c r="G15" s="11"/>
      <c r="H15" s="11">
        <f t="shared" si="4"/>
        <v>10.562196841660123</v>
      </c>
      <c r="I15" s="11">
        <f t="shared" si="6"/>
        <v>44.461395425048167</v>
      </c>
      <c r="J15" s="11">
        <f t="shared" si="7"/>
        <v>-5.9864804594035164</v>
      </c>
      <c r="K15" s="11">
        <f t="shared" si="5"/>
        <v>23.931407425674934</v>
      </c>
      <c r="L15" s="11">
        <f t="shared" si="2"/>
        <v>31.91522818192313</v>
      </c>
      <c r="M15" s="11">
        <f t="shared" si="0"/>
        <v>18.839773921942729</v>
      </c>
      <c r="N15" s="11">
        <f t="shared" si="3"/>
        <v>-45.737528813439248</v>
      </c>
      <c r="P15" s="12">
        <v>0.1249</v>
      </c>
    </row>
    <row r="16" spans="1:16" x14ac:dyDescent="0.25">
      <c r="A16">
        <v>7</v>
      </c>
      <c r="B16" s="11"/>
      <c r="C16" s="11"/>
      <c r="D16" s="11"/>
      <c r="E16" s="11">
        <f t="shared" si="1"/>
        <v>-2.5783760854119286</v>
      </c>
      <c r="F16" s="11"/>
      <c r="G16" s="11"/>
      <c r="H16" s="11">
        <f t="shared" si="4"/>
        <v>7.5516747634927865</v>
      </c>
      <c r="I16" s="11">
        <f t="shared" si="6"/>
        <v>44.461395425048167</v>
      </c>
      <c r="J16" s="11">
        <f t="shared" si="7"/>
        <v>-5.9864804594035164</v>
      </c>
      <c r="K16" s="11">
        <f t="shared" si="5"/>
        <v>25.737720672575339</v>
      </c>
      <c r="L16" s="11">
        <f t="shared" si="2"/>
        <v>30.711019350656198</v>
      </c>
      <c r="M16" s="11">
        <f t="shared" si="0"/>
        <v>16.315016276399767</v>
      </c>
      <c r="N16" s="11">
        <f t="shared" si="3"/>
        <v>-29.422512537039481</v>
      </c>
      <c r="P16" s="12">
        <v>8.9300000000000004E-2</v>
      </c>
    </row>
    <row r="17" spans="1:16" x14ac:dyDescent="0.25">
      <c r="A17">
        <v>8</v>
      </c>
      <c r="B17" s="11"/>
      <c r="C17" s="11"/>
      <c r="D17" s="11"/>
      <c r="E17" s="11">
        <f t="shared" si="1"/>
        <v>-2.5783760854119286</v>
      </c>
      <c r="F17" s="11"/>
      <c r="G17" s="11"/>
      <c r="H17" s="11">
        <f t="shared" si="4"/>
        <v>7.5432182408013055</v>
      </c>
      <c r="I17" s="11">
        <f t="shared" si="6"/>
        <v>44.461395425048167</v>
      </c>
      <c r="J17" s="11">
        <f t="shared" si="7"/>
        <v>-5.9864804594035164</v>
      </c>
      <c r="K17" s="11">
        <f t="shared" si="5"/>
        <v>25.742794586190229</v>
      </c>
      <c r="L17" s="11">
        <f t="shared" si="2"/>
        <v>30.707636741579609</v>
      </c>
      <c r="M17" s="11">
        <f t="shared" si="0"/>
        <v>14.680985874649462</v>
      </c>
      <c r="N17" s="11">
        <f t="shared" si="3"/>
        <v>-14.741526662390019</v>
      </c>
      <c r="P17" s="12">
        <v>8.9200000000000002E-2</v>
      </c>
    </row>
    <row r="18" spans="1:16" x14ac:dyDescent="0.25">
      <c r="A18">
        <v>9</v>
      </c>
      <c r="B18" s="11"/>
      <c r="C18" s="11"/>
      <c r="D18" s="11"/>
      <c r="E18" s="11">
        <f t="shared" si="1"/>
        <v>-2.5783760854119286</v>
      </c>
      <c r="F18" s="11"/>
      <c r="G18" s="11"/>
      <c r="H18" s="11">
        <f t="shared" si="4"/>
        <v>7.5516747634927865</v>
      </c>
      <c r="I18" s="11">
        <f t="shared" si="6"/>
        <v>44.461395425048167</v>
      </c>
      <c r="J18" s="11">
        <f t="shared" si="7"/>
        <v>-5.9864804594035164</v>
      </c>
      <c r="K18" s="11">
        <f t="shared" si="5"/>
        <v>25.737720672575339</v>
      </c>
      <c r="L18" s="11">
        <f t="shared" si="2"/>
        <v>30.711019350656198</v>
      </c>
      <c r="M18" s="11">
        <f t="shared" si="0"/>
        <v>13.213522380664795</v>
      </c>
      <c r="N18" s="11">
        <f t="shared" si="3"/>
        <v>-1.5280042817252237</v>
      </c>
      <c r="P18" s="12">
        <v>8.9300000000000004E-2</v>
      </c>
    </row>
    <row r="19" spans="1:16" x14ac:dyDescent="0.25">
      <c r="A19">
        <v>10</v>
      </c>
      <c r="B19" s="11"/>
      <c r="C19" s="11"/>
      <c r="D19" s="11"/>
      <c r="E19" s="11">
        <f t="shared" si="1"/>
        <v>-2.5783760854119286</v>
      </c>
      <c r="F19" s="11"/>
      <c r="G19" s="11"/>
      <c r="H19" s="11">
        <f t="shared" si="4"/>
        <v>3.7716091204006528</v>
      </c>
      <c r="I19" s="11">
        <f t="shared" si="6"/>
        <v>44.461395425048167</v>
      </c>
      <c r="J19" s="11">
        <f t="shared" si="7"/>
        <v>-5.9864804594035164</v>
      </c>
      <c r="K19" s="11">
        <f t="shared" si="5"/>
        <v>28.005760058430617</v>
      </c>
      <c r="L19" s="11">
        <f t="shared" si="2"/>
        <v>29.198993093419343</v>
      </c>
      <c r="M19" s="11">
        <f t="shared" si="0"/>
        <v>11.305969121109767</v>
      </c>
      <c r="N19" s="11">
        <f t="shared" si="3"/>
        <v>9.7779648393845431</v>
      </c>
      <c r="P19" s="12">
        <v>4.4600000000000001E-2</v>
      </c>
    </row>
    <row r="20" spans="1:16" x14ac:dyDescent="0.25">
      <c r="A20">
        <v>11</v>
      </c>
      <c r="B20" s="11"/>
      <c r="C20" s="11"/>
      <c r="D20" s="11"/>
      <c r="E20" s="11">
        <f t="shared" si="1"/>
        <v>-2.5783760854119286</v>
      </c>
      <c r="F20" s="11"/>
      <c r="G20" s="11"/>
      <c r="H20" s="11"/>
      <c r="I20" s="11">
        <f t="shared" si="6"/>
        <v>44.461395425048167</v>
      </c>
      <c r="J20" s="11">
        <f t="shared" si="7"/>
        <v>-5.9864804594035164</v>
      </c>
      <c r="K20" s="11">
        <f t="shared" si="5"/>
        <v>30.268725530671009</v>
      </c>
      <c r="L20" s="11">
        <f t="shared" si="2"/>
        <v>27.690349445259081</v>
      </c>
      <c r="M20" s="11">
        <f t="shared" si="0"/>
        <v>9.6490354660658699</v>
      </c>
      <c r="N20" s="11">
        <f t="shared" si="3"/>
        <v>19.427000305450413</v>
      </c>
    </row>
    <row r="21" spans="1:16" x14ac:dyDescent="0.25">
      <c r="A21">
        <v>12</v>
      </c>
      <c r="B21" s="11"/>
      <c r="C21" s="11"/>
      <c r="D21" s="11"/>
      <c r="E21" s="11">
        <f t="shared" si="1"/>
        <v>-2.5783760854119286</v>
      </c>
      <c r="F21" s="11"/>
      <c r="G21" s="11"/>
      <c r="H21" s="11"/>
      <c r="I21" s="11">
        <f t="shared" si="6"/>
        <v>44.461395425048167</v>
      </c>
      <c r="J21" s="11">
        <f t="shared" si="7"/>
        <v>-5.9864804594035164</v>
      </c>
      <c r="K21" s="11">
        <f t="shared" si="5"/>
        <v>30.268725530671009</v>
      </c>
      <c r="L21" s="11">
        <f t="shared" si="2"/>
        <v>27.690349445259081</v>
      </c>
      <c r="M21" s="11">
        <f t="shared" si="0"/>
        <v>8.6835927890025957</v>
      </c>
      <c r="N21" s="11">
        <f t="shared" si="3"/>
        <v>28.110593094453009</v>
      </c>
    </row>
    <row r="22" spans="1:16" x14ac:dyDescent="0.25">
      <c r="A22">
        <v>13</v>
      </c>
      <c r="B22" s="11"/>
      <c r="C22" s="11"/>
      <c r="D22" s="11"/>
      <c r="E22" s="11">
        <f t="shared" si="1"/>
        <v>-2.5783760854119286</v>
      </c>
      <c r="F22" s="11"/>
      <c r="G22" s="11"/>
      <c r="H22" s="11"/>
      <c r="I22" s="11">
        <f t="shared" si="6"/>
        <v>44.461395425048167</v>
      </c>
      <c r="J22" s="11">
        <f t="shared" si="7"/>
        <v>-5.9864804594035164</v>
      </c>
      <c r="K22" s="11">
        <f t="shared" si="5"/>
        <v>30.268725530671009</v>
      </c>
      <c r="L22" s="11">
        <f t="shared" si="2"/>
        <v>27.690349445259081</v>
      </c>
      <c r="M22" s="11">
        <f t="shared" si="0"/>
        <v>7.8147483228147072</v>
      </c>
      <c r="N22" s="11">
        <f t="shared" si="3"/>
        <v>35.925341417267717</v>
      </c>
    </row>
    <row r="23" spans="1:16" ht="15.75" thickBot="1" x14ac:dyDescent="0.3">
      <c r="A23">
        <v>14</v>
      </c>
      <c r="B23" s="11"/>
      <c r="C23" s="11"/>
      <c r="D23" s="11"/>
      <c r="E23" s="11">
        <f t="shared" si="1"/>
        <v>-2.5783760854119286</v>
      </c>
      <c r="F23" s="11"/>
      <c r="G23" s="11"/>
      <c r="H23" s="11"/>
      <c r="I23" s="11">
        <f t="shared" si="6"/>
        <v>44.461395425048167</v>
      </c>
      <c r="J23" s="11">
        <f t="shared" si="7"/>
        <v>-5.9864804594035164</v>
      </c>
      <c r="K23" s="11">
        <f t="shared" si="5"/>
        <v>30.268725530671009</v>
      </c>
      <c r="L23" s="11">
        <f t="shared" si="2"/>
        <v>27.690349445259081</v>
      </c>
      <c r="M23" s="11">
        <f t="shared" si="0"/>
        <v>7.032836849083739</v>
      </c>
      <c r="N23" s="11">
        <f t="shared" si="3"/>
        <v>42.958178266351453</v>
      </c>
    </row>
    <row r="24" spans="1:16" ht="15.75" thickBot="1" x14ac:dyDescent="0.3">
      <c r="A24">
        <v>15</v>
      </c>
      <c r="B24" s="11"/>
      <c r="C24" s="11">
        <f>-WC</f>
        <v>30.954281091690063</v>
      </c>
      <c r="D24" s="11"/>
      <c r="E24" s="11">
        <f t="shared" si="1"/>
        <v>-2.5783760854119286</v>
      </c>
      <c r="F24" s="11"/>
      <c r="G24" s="11"/>
      <c r="H24" s="11"/>
      <c r="I24" s="11">
        <f t="shared" si="6"/>
        <v>44.461395425048167</v>
      </c>
      <c r="J24" s="11">
        <f t="shared" si="7"/>
        <v>-5.9864804594035164</v>
      </c>
      <c r="K24" s="11">
        <f t="shared" si="5"/>
        <v>30.268725530671009</v>
      </c>
      <c r="L24" s="11">
        <f>C24+K24+G24+E24</f>
        <v>58.644630536949137</v>
      </c>
      <c r="M24" s="11">
        <f t="shared" si="0"/>
        <v>13.404354572437656</v>
      </c>
      <c r="N24" s="13">
        <f>N23+M24</f>
        <v>56.362532838789107</v>
      </c>
    </row>
    <row r="25" spans="1:16" x14ac:dyDescent="0.25">
      <c r="C25" s="3"/>
      <c r="D25" s="2"/>
      <c r="E25" s="4"/>
      <c r="F25" s="2"/>
      <c r="G25" s="1"/>
      <c r="H25" s="1"/>
    </row>
    <row r="26" spans="1:16" x14ac:dyDescent="0.25">
      <c r="C26" s="3"/>
      <c r="D26" s="2"/>
      <c r="E26" s="4"/>
      <c r="F26" s="2"/>
      <c r="G26" s="1"/>
      <c r="H26" s="1"/>
    </row>
    <row r="27" spans="1:16" x14ac:dyDescent="0.25">
      <c r="C27" s="3"/>
      <c r="D27" s="2"/>
      <c r="E27" s="4"/>
      <c r="F27" s="2"/>
      <c r="G27" s="1"/>
      <c r="H27" s="1"/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Button 1">
              <controlPr defaultSize="0" print="0" autoFill="0" autoPict="0" macro="[0]!RunSimulation">
                <anchor moveWithCells="1" sizeWithCells="1">
                  <from>
                    <xdr:col>9</xdr:col>
                    <xdr:colOff>438150</xdr:colOff>
                    <xdr:row>1</xdr:row>
                    <xdr:rowOff>133350</xdr:rowOff>
                  </from>
                  <to>
                    <xdr:col>11</xdr:col>
                    <xdr:colOff>276225</xdr:colOff>
                    <xdr:row>3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B54"/>
  <sheetViews>
    <sheetView workbookViewId="0">
      <selection sqref="A1:B54"/>
    </sheetView>
  </sheetViews>
  <sheetFormatPr defaultRowHeight="15" x14ac:dyDescent="0.25"/>
  <sheetData>
    <row r="1" spans="1:2" x14ac:dyDescent="0.25">
      <c r="A1">
        <v>-58</v>
      </c>
      <c r="B1">
        <v>0</v>
      </c>
    </row>
    <row r="2" spans="1:2" x14ac:dyDescent="0.25">
      <c r="A2">
        <v>-54</v>
      </c>
      <c r="B2">
        <v>0</v>
      </c>
    </row>
    <row r="3" spans="1:2" x14ac:dyDescent="0.25">
      <c r="A3">
        <v>-50</v>
      </c>
      <c r="B3">
        <v>0</v>
      </c>
    </row>
    <row r="4" spans="1:2" x14ac:dyDescent="0.25">
      <c r="A4">
        <v>-46</v>
      </c>
      <c r="B4">
        <v>2</v>
      </c>
    </row>
    <row r="5" spans="1:2" x14ac:dyDescent="0.25">
      <c r="A5">
        <v>-42</v>
      </c>
      <c r="B5">
        <v>6</v>
      </c>
    </row>
    <row r="6" spans="1:2" x14ac:dyDescent="0.25">
      <c r="A6">
        <v>-38</v>
      </c>
      <c r="B6">
        <v>3</v>
      </c>
    </row>
    <row r="7" spans="1:2" x14ac:dyDescent="0.25">
      <c r="A7">
        <v>-34</v>
      </c>
      <c r="B7">
        <v>11</v>
      </c>
    </row>
    <row r="8" spans="1:2" x14ac:dyDescent="0.25">
      <c r="A8">
        <v>-30</v>
      </c>
      <c r="B8">
        <v>10</v>
      </c>
    </row>
    <row r="9" spans="1:2" x14ac:dyDescent="0.25">
      <c r="A9">
        <v>-26</v>
      </c>
      <c r="B9">
        <v>26</v>
      </c>
    </row>
    <row r="10" spans="1:2" x14ac:dyDescent="0.25">
      <c r="A10">
        <v>-22</v>
      </c>
      <c r="B10">
        <v>31</v>
      </c>
    </row>
    <row r="11" spans="1:2" x14ac:dyDescent="0.25">
      <c r="A11">
        <v>-18</v>
      </c>
      <c r="B11">
        <v>48</v>
      </c>
    </row>
    <row r="12" spans="1:2" x14ac:dyDescent="0.25">
      <c r="A12">
        <v>-14</v>
      </c>
      <c r="B12">
        <v>85</v>
      </c>
    </row>
    <row r="13" spans="1:2" x14ac:dyDescent="0.25">
      <c r="A13">
        <v>-10</v>
      </c>
      <c r="B13">
        <v>99</v>
      </c>
    </row>
    <row r="14" spans="1:2" x14ac:dyDescent="0.25">
      <c r="A14">
        <v>-6</v>
      </c>
      <c r="B14">
        <v>130</v>
      </c>
    </row>
    <row r="15" spans="1:2" x14ac:dyDescent="0.25">
      <c r="A15">
        <v>-2</v>
      </c>
      <c r="B15">
        <v>166</v>
      </c>
    </row>
    <row r="16" spans="1:2" x14ac:dyDescent="0.25">
      <c r="A16">
        <v>2</v>
      </c>
      <c r="B16">
        <v>171</v>
      </c>
    </row>
    <row r="17" spans="1:2" x14ac:dyDescent="0.25">
      <c r="A17">
        <v>6</v>
      </c>
      <c r="B17">
        <v>202</v>
      </c>
    </row>
    <row r="18" spans="1:2" x14ac:dyDescent="0.25">
      <c r="A18">
        <v>10</v>
      </c>
      <c r="B18">
        <v>279</v>
      </c>
    </row>
    <row r="19" spans="1:2" x14ac:dyDescent="0.25">
      <c r="A19">
        <v>14</v>
      </c>
      <c r="B19">
        <v>323</v>
      </c>
    </row>
    <row r="20" spans="1:2" x14ac:dyDescent="0.25">
      <c r="A20">
        <v>18</v>
      </c>
      <c r="B20">
        <v>349</v>
      </c>
    </row>
    <row r="21" spans="1:2" x14ac:dyDescent="0.25">
      <c r="A21">
        <v>22</v>
      </c>
      <c r="B21">
        <v>388</v>
      </c>
    </row>
    <row r="22" spans="1:2" x14ac:dyDescent="0.25">
      <c r="A22">
        <v>26</v>
      </c>
      <c r="B22">
        <v>420</v>
      </c>
    </row>
    <row r="23" spans="1:2" x14ac:dyDescent="0.25">
      <c r="A23">
        <v>30</v>
      </c>
      <c r="B23">
        <v>452</v>
      </c>
    </row>
    <row r="24" spans="1:2" x14ac:dyDescent="0.25">
      <c r="A24">
        <v>34</v>
      </c>
      <c r="B24">
        <v>487</v>
      </c>
    </row>
    <row r="25" spans="1:2" x14ac:dyDescent="0.25">
      <c r="A25">
        <v>38</v>
      </c>
      <c r="B25">
        <v>528</v>
      </c>
    </row>
    <row r="26" spans="1:2" x14ac:dyDescent="0.25">
      <c r="A26">
        <v>42</v>
      </c>
      <c r="B26">
        <v>512</v>
      </c>
    </row>
    <row r="27" spans="1:2" x14ac:dyDescent="0.25">
      <c r="A27">
        <v>46</v>
      </c>
      <c r="B27">
        <v>507</v>
      </c>
    </row>
    <row r="28" spans="1:2" x14ac:dyDescent="0.25">
      <c r="A28">
        <v>50</v>
      </c>
      <c r="B28">
        <v>461</v>
      </c>
    </row>
    <row r="29" spans="1:2" x14ac:dyDescent="0.25">
      <c r="A29">
        <v>54</v>
      </c>
      <c r="B29">
        <v>469</v>
      </c>
    </row>
    <row r="30" spans="1:2" x14ac:dyDescent="0.25">
      <c r="A30">
        <v>58</v>
      </c>
      <c r="B30">
        <v>501</v>
      </c>
    </row>
    <row r="31" spans="1:2" x14ac:dyDescent="0.25">
      <c r="A31">
        <v>62</v>
      </c>
      <c r="B31">
        <v>426</v>
      </c>
    </row>
    <row r="32" spans="1:2" x14ac:dyDescent="0.25">
      <c r="A32">
        <v>66</v>
      </c>
      <c r="B32">
        <v>381</v>
      </c>
    </row>
    <row r="33" spans="1:2" x14ac:dyDescent="0.25">
      <c r="A33">
        <v>70</v>
      </c>
      <c r="B33">
        <v>366</v>
      </c>
    </row>
    <row r="34" spans="1:2" x14ac:dyDescent="0.25">
      <c r="A34">
        <v>74</v>
      </c>
      <c r="B34">
        <v>317</v>
      </c>
    </row>
    <row r="35" spans="1:2" x14ac:dyDescent="0.25">
      <c r="A35">
        <v>78</v>
      </c>
      <c r="B35">
        <v>315</v>
      </c>
    </row>
    <row r="36" spans="1:2" x14ac:dyDescent="0.25">
      <c r="A36">
        <v>82</v>
      </c>
      <c r="B36">
        <v>292</v>
      </c>
    </row>
    <row r="37" spans="1:2" x14ac:dyDescent="0.25">
      <c r="A37">
        <v>86</v>
      </c>
      <c r="B37">
        <v>265</v>
      </c>
    </row>
    <row r="38" spans="1:2" x14ac:dyDescent="0.25">
      <c r="A38">
        <v>90</v>
      </c>
      <c r="B38">
        <v>205</v>
      </c>
    </row>
    <row r="39" spans="1:2" x14ac:dyDescent="0.25">
      <c r="A39">
        <v>94</v>
      </c>
      <c r="B39">
        <v>163</v>
      </c>
    </row>
    <row r="40" spans="1:2" x14ac:dyDescent="0.25">
      <c r="A40">
        <v>98</v>
      </c>
      <c r="B40">
        <v>134</v>
      </c>
    </row>
    <row r="41" spans="1:2" x14ac:dyDescent="0.25">
      <c r="A41">
        <v>102</v>
      </c>
      <c r="B41">
        <v>125</v>
      </c>
    </row>
    <row r="42" spans="1:2" x14ac:dyDescent="0.25">
      <c r="A42">
        <v>106</v>
      </c>
      <c r="B42">
        <v>90</v>
      </c>
    </row>
    <row r="43" spans="1:2" x14ac:dyDescent="0.25">
      <c r="A43">
        <v>110</v>
      </c>
      <c r="B43">
        <v>63</v>
      </c>
    </row>
    <row r="44" spans="1:2" x14ac:dyDescent="0.25">
      <c r="A44">
        <v>114</v>
      </c>
      <c r="B44">
        <v>60</v>
      </c>
    </row>
    <row r="45" spans="1:2" x14ac:dyDescent="0.25">
      <c r="A45">
        <v>118</v>
      </c>
      <c r="B45">
        <v>49</v>
      </c>
    </row>
    <row r="46" spans="1:2" x14ac:dyDescent="0.25">
      <c r="A46">
        <v>122</v>
      </c>
      <c r="B46">
        <v>22</v>
      </c>
    </row>
    <row r="47" spans="1:2" x14ac:dyDescent="0.25">
      <c r="A47">
        <v>126</v>
      </c>
      <c r="B47">
        <v>18</v>
      </c>
    </row>
    <row r="48" spans="1:2" x14ac:dyDescent="0.25">
      <c r="A48">
        <v>130</v>
      </c>
      <c r="B48">
        <v>8</v>
      </c>
    </row>
    <row r="49" spans="1:2" x14ac:dyDescent="0.25">
      <c r="A49">
        <v>134</v>
      </c>
      <c r="B49">
        <v>10</v>
      </c>
    </row>
    <row r="50" spans="1:2" x14ac:dyDescent="0.25">
      <c r="A50">
        <v>138</v>
      </c>
      <c r="B50">
        <v>11</v>
      </c>
    </row>
    <row r="51" spans="1:2" x14ac:dyDescent="0.25">
      <c r="A51">
        <v>142</v>
      </c>
      <c r="B51">
        <v>7</v>
      </c>
    </row>
    <row r="52" spans="1:2" x14ac:dyDescent="0.25">
      <c r="A52">
        <v>146</v>
      </c>
      <c r="B52">
        <v>3</v>
      </c>
    </row>
    <row r="53" spans="1:2" x14ac:dyDescent="0.25">
      <c r="A53">
        <v>150</v>
      </c>
      <c r="B53">
        <v>2</v>
      </c>
    </row>
    <row r="54" spans="1:2" x14ac:dyDescent="0.25">
      <c r="A54">
        <v>154</v>
      </c>
      <c r="B54">
        <v>1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6" baseType="variant">
      <vt:variant>
        <vt:lpstr>工作表</vt:lpstr>
      </vt:variant>
      <vt:variant>
        <vt:i4>2</vt:i4>
      </vt:variant>
      <vt:variant>
        <vt:lpstr>图表</vt:lpstr>
      </vt:variant>
      <vt:variant>
        <vt:i4>1</vt:i4>
      </vt:variant>
      <vt:variant>
        <vt:lpstr>命名范围</vt:lpstr>
      </vt:variant>
      <vt:variant>
        <vt:i4>9</vt:i4>
      </vt:variant>
    </vt:vector>
  </HeadingPairs>
  <TitlesOfParts>
    <vt:vector size="12" baseType="lpstr">
      <vt:lpstr>Main</vt:lpstr>
      <vt:lpstr>Histogram Data</vt:lpstr>
      <vt:lpstr>Histogram</vt:lpstr>
      <vt:lpstr>Cland</vt:lpstr>
      <vt:lpstr>COS</vt:lpstr>
      <vt:lpstr>Croyal</vt:lpstr>
      <vt:lpstr>Cstart</vt:lpstr>
      <vt:lpstr>CTDC</vt:lpstr>
      <vt:lpstr>i</vt:lpstr>
      <vt:lpstr>S</vt:lpstr>
      <vt:lpstr>tax</vt:lpstr>
      <vt:lpstr>WC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Charlie</dc:creator>
  <cp:lastModifiedBy>Shire</cp:lastModifiedBy>
  <dcterms:created xsi:type="dcterms:W3CDTF">2013-10-29T18:00:12Z</dcterms:created>
  <dcterms:modified xsi:type="dcterms:W3CDTF">2018-11-06T03:30:21Z</dcterms:modified>
</cp:coreProperties>
</file>